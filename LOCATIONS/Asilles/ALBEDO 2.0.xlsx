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BEDO 2.0" sheetId="1" r:id="rId3"/>
  </sheets>
  <definedNames/>
  <calcPr/>
</workbook>
</file>

<file path=xl/sharedStrings.xml><?xml version="1.0" encoding="utf-8"?>
<sst xmlns="http://schemas.openxmlformats.org/spreadsheetml/2006/main" count="49" uniqueCount="35">
  <si>
    <t>IMPORTANT: To use this calculator, you must save it locally to your computer. Go to File - Download As</t>
  </si>
  <si>
    <t>NOTE</t>
  </si>
  <si>
    <t>Only edit highlighted cells</t>
  </si>
  <si>
    <t>Do not edit grey cells</t>
  </si>
  <si>
    <r>
      <rPr>
        <rFont val="Didact Gothic"/>
        <b/>
        <color rgb="FF434343"/>
        <u/>
      </rPr>
      <t>ROUGH</t>
    </r>
    <r>
      <rPr>
        <rFont val="Didact Gothic"/>
        <color rgb="FF434343"/>
      </rPr>
      <t xml:space="preserve"> Earth values for reference</t>
    </r>
  </si>
  <si>
    <t>S  e  c  t  i  o  n        A         :        C  o  v  e  r  a  g  e</t>
  </si>
  <si>
    <t>Ocean</t>
  </si>
  <si>
    <t>Land</t>
  </si>
  <si>
    <t>Clouds</t>
  </si>
  <si>
    <t>50-70%</t>
  </si>
  <si>
    <t>S  e  c  t  i  o  n    B    :    B  r  e  a  k  d  o  w  n</t>
  </si>
  <si>
    <t>Sea Ice</t>
  </si>
  <si>
    <t>Urban</t>
  </si>
  <si>
    <t>Thick</t>
  </si>
  <si>
    <t>Open Ocean</t>
  </si>
  <si>
    <t>Desert (sand)</t>
  </si>
  <si>
    <t>Thin</t>
  </si>
  <si>
    <t>Grassland</t>
  </si>
  <si>
    <t>Inland Water Bodies</t>
  </si>
  <si>
    <t>Snow and Ice</t>
  </si>
  <si>
    <t>Forest</t>
  </si>
  <si>
    <t>S  e  c  t  i  o  n    C    :    T  o  t  a  l    A  l  b  e  d  o</t>
  </si>
  <si>
    <t>Total Coverage</t>
  </si>
  <si>
    <t>Albedo</t>
  </si>
  <si>
    <t>MATH</t>
  </si>
  <si>
    <t>Thick Clouds</t>
  </si>
  <si>
    <t>50-90%</t>
  </si>
  <si>
    <t>Thin Clouds</t>
  </si>
  <si>
    <t>25-60%</t>
  </si>
  <si>
    <t>6-8%</t>
  </si>
  <si>
    <t>5-25%</t>
  </si>
  <si>
    <t>20-40%</t>
  </si>
  <si>
    <t>10-25%</t>
  </si>
  <si>
    <t>5-20%</t>
  </si>
  <si>
    <t>T  o  t  a  l    A  l  b  e  d  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</si>
</sst>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color rgb="FF434343"/>
      <name val="Didact Gothic"/>
    </font>
    <font>
      <sz val="17.0"/>
      <color rgb="FF434343"/>
      <name val="Didact Gothic"/>
    </font>
    <font>
      <color rgb="FFF3F3F3"/>
      <name val="Didact Gothic"/>
    </font>
    <font>
      <color rgb="FFFFFFFF"/>
      <name val="Didact Gothic"/>
    </font>
    <font>
      <sz val="18.0"/>
      <color rgb="FFF3F3F3"/>
      <name val="Francois One"/>
    </font>
    <font>
      <sz val="11.0"/>
      <color rgb="FF000000"/>
      <name val="Didact Gothic"/>
    </font>
    <font>
      <sz val="11.0"/>
      <color rgb="FF434343"/>
      <name val="Didact Gothic"/>
    </font>
    <font>
      <sz val="11.0"/>
      <color rgb="FFF3F3F3"/>
      <name val="Didact Gothic"/>
    </font>
    <font>
      <sz val="11.0"/>
      <color rgb="FFCCCCCC"/>
      <name val="Didact Gothic"/>
    </font>
  </fonts>
  <fills count="10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74C3C"/>
        <bgColor rgb="FFE74C3C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434343"/>
        <bgColor rgb="FF43434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left" readingOrder="0" vertical="center"/>
    </xf>
    <xf borderId="0" fillId="3" fontId="1" numFmtId="0" xfId="0" applyAlignment="1" applyFill="1" applyFont="1">
      <alignment horizontal="center" vertical="center"/>
    </xf>
    <xf borderId="0" fillId="3" fontId="3" numFmtId="0" xfId="0" applyAlignment="1" applyFont="1">
      <alignment horizontal="left" readingOrder="0" vertical="center"/>
    </xf>
    <xf borderId="0" fillId="2" fontId="4" numFmtId="0" xfId="0" applyAlignment="1" applyFont="1">
      <alignment horizontal="left" readingOrder="0" vertical="center"/>
    </xf>
    <xf borderId="0" fillId="4" fontId="1" numFmtId="0" xfId="0" applyAlignment="1" applyFill="1" applyFont="1">
      <alignment horizontal="left" readingOrder="0" vertical="center"/>
    </xf>
    <xf borderId="0" fillId="4" fontId="1" numFmtId="0" xfId="0" applyAlignment="1" applyFont="1">
      <alignment horizontal="center" vertical="center"/>
    </xf>
    <xf borderId="0" fillId="5" fontId="1" numFmtId="0" xfId="0" applyAlignment="1" applyFill="1" applyFont="1">
      <alignment horizontal="left" readingOrder="0" vertical="center"/>
    </xf>
    <xf borderId="0" fillId="5" fontId="1" numFmtId="0" xfId="0" applyAlignment="1" applyFont="1">
      <alignment horizontal="center" vertical="center"/>
    </xf>
    <xf borderId="0" fillId="6" fontId="1" numFmtId="0" xfId="0" applyAlignment="1" applyFill="1" applyFont="1">
      <alignment horizontal="left" readingOrder="0" vertical="center"/>
    </xf>
    <xf borderId="0" fillId="6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7" fontId="5" numFmtId="0" xfId="0" applyAlignment="1" applyFill="1" applyFont="1">
      <alignment horizontal="center" readingOrder="0" vertical="center"/>
    </xf>
    <xf borderId="0" fillId="8" fontId="6" numFmtId="0" xfId="0" applyAlignment="1" applyFill="1" applyFont="1">
      <alignment horizontal="center" readingOrder="0" vertical="center"/>
    </xf>
    <xf borderId="0" fillId="4" fontId="6" numFmtId="10" xfId="0" applyAlignment="1" applyFont="1" applyNumberFormat="1">
      <alignment horizontal="center" readingOrder="0" vertical="center"/>
    </xf>
    <xf borderId="0" fillId="6" fontId="6" numFmtId="9" xfId="0" applyAlignment="1" applyFont="1" applyNumberFormat="1">
      <alignment horizontal="center" readingOrder="0" vertical="center"/>
    </xf>
    <xf borderId="0" fillId="5" fontId="6" numFmtId="10" xfId="0" applyAlignment="1" applyFont="1" applyNumberFormat="1">
      <alignment horizontal="center" readingOrder="0" vertical="center"/>
    </xf>
    <xf borderId="0" fillId="6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7" numFmtId="9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9" fontId="6" numFmtId="0" xfId="0" applyAlignment="1" applyFill="1" applyFont="1">
      <alignment horizontal="center" readingOrder="0" vertical="center"/>
    </xf>
    <xf borderId="0" fillId="6" fontId="6" numFmtId="10" xfId="0" applyAlignment="1" applyFont="1" applyNumberForma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0" fillId="5" fontId="6" numFmtId="0" xfId="0" applyAlignment="1" applyFont="1">
      <alignment horizontal="center" readingOrder="0" vertical="center"/>
    </xf>
    <xf borderId="0" fillId="5" fontId="6" numFmtId="9" xfId="0" applyAlignment="1" applyFont="1" applyNumberFormat="1">
      <alignment horizontal="center" readingOrder="0" vertical="center"/>
    </xf>
    <xf borderId="0" fillId="6" fontId="6" numFmtId="0" xfId="0" applyAlignment="1" applyFont="1">
      <alignment horizontal="center" vertical="center"/>
    </xf>
    <xf borderId="0" fillId="9" fontId="6" numFmtId="0" xfId="0" applyAlignment="1" applyFont="1">
      <alignment horizontal="center" vertical="center"/>
    </xf>
    <xf borderId="0" fillId="5" fontId="6" numFmtId="0" xfId="0" applyAlignment="1" applyFont="1">
      <alignment horizontal="center" vertical="center"/>
    </xf>
    <xf borderId="0" fillId="6" fontId="6" numFmtId="0" xfId="0" applyAlignment="1" applyFont="1">
      <alignment horizontal="center" vertical="center"/>
    </xf>
    <xf borderId="0" fillId="4" fontId="6" numFmtId="9" xfId="0" applyAlignment="1" applyFont="1" applyNumberFormat="1">
      <alignment horizontal="center" readingOrder="0" vertical="center"/>
    </xf>
    <xf borderId="0" fillId="3" fontId="7" numFmtId="0" xfId="0" applyAlignment="1" applyFont="1">
      <alignment horizontal="center" readingOrder="0" vertical="center"/>
    </xf>
    <xf borderId="0" fillId="3" fontId="8" numFmtId="10" xfId="0" applyAlignment="1" applyFont="1" applyNumberFormat="1">
      <alignment horizontal="center" readingOrder="0" vertical="center"/>
    </xf>
    <xf borderId="0" fillId="3" fontId="8" numFmtId="0" xfId="0" applyAlignment="1" applyFont="1">
      <alignment horizontal="center" vertical="center"/>
    </xf>
    <xf borderId="0" fillId="3" fontId="8" numFmtId="0" xfId="0" applyAlignment="1" applyFont="1">
      <alignment horizontal="center" readingOrder="0" vertical="center"/>
    </xf>
    <xf borderId="0" fillId="3" fontId="7" numFmtId="0" xfId="0" applyAlignment="1" applyFont="1">
      <alignment horizontal="center" vertical="center"/>
    </xf>
    <xf borderId="0" fillId="8" fontId="6" numFmtId="0" xfId="0" applyAlignment="1" applyFont="1">
      <alignment horizontal="center" vertical="center"/>
    </xf>
    <xf borderId="0" fillId="5" fontId="9" numFmtId="10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1390650</xdr:colOff>
      <xdr:row>2</xdr:row>
      <xdr:rowOff>38100</xdr:rowOff>
    </xdr:from>
    <xdr:ext cx="1485900" cy="1485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63"/>
    <col customWidth="1" min="2" max="2" width="6.38"/>
    <col customWidth="1" min="3" max="4" width="25.13"/>
    <col customWidth="1" min="5" max="5" width="12.63"/>
    <col customWidth="1" min="6" max="7" width="25.13"/>
    <col customWidth="1" min="9" max="10" width="25.13"/>
    <col customWidth="1" min="12" max="12" width="6.38"/>
    <col customWidth="1" min="13" max="13" width="3.13"/>
  </cols>
  <sheetData>
    <row r="1" ht="44.25" customHeight="1">
      <c r="A1" s="1"/>
      <c r="B1" s="1"/>
      <c r="C1" s="1"/>
      <c r="D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8.25" customHeigh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8.75" customHeight="1">
      <c r="A3" s="1"/>
      <c r="B3" s="3"/>
      <c r="C3" s="4" t="s">
        <v>1</v>
      </c>
      <c r="D3" s="3"/>
      <c r="E3" s="3"/>
      <c r="F3" s="3"/>
      <c r="G3" s="3"/>
      <c r="H3" s="3"/>
      <c r="I3" s="3"/>
      <c r="J3" s="3"/>
      <c r="K3" s="3"/>
      <c r="L3" s="3"/>
      <c r="M3" s="1"/>
      <c r="N3" s="5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8.75" customHeight="1">
      <c r="A4" s="1"/>
      <c r="B4" s="3"/>
      <c r="C4" s="6" t="s">
        <v>2</v>
      </c>
      <c r="D4" s="7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8.75" customHeight="1">
      <c r="A5" s="1"/>
      <c r="B5" s="3"/>
      <c r="C5" s="8" t="s">
        <v>3</v>
      </c>
      <c r="D5" s="9"/>
      <c r="E5" s="3"/>
      <c r="F5" s="3"/>
      <c r="G5" s="3"/>
      <c r="H5" s="3"/>
      <c r="I5" s="3"/>
      <c r="J5" s="3"/>
      <c r="K5" s="3"/>
      <c r="L5" s="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8.75" customHeight="1">
      <c r="A6" s="1"/>
      <c r="B6" s="3"/>
      <c r="C6" s="10" t="s">
        <v>4</v>
      </c>
      <c r="D6" s="11"/>
      <c r="E6" s="3"/>
      <c r="F6" s="3"/>
      <c r="G6" s="3"/>
      <c r="H6" s="3"/>
      <c r="I6" s="3"/>
      <c r="J6" s="3"/>
      <c r="K6" s="3"/>
      <c r="L6" s="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8.25" customHeight="1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47.25" customHeight="1">
      <c r="A8" s="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63.0" customHeight="1">
      <c r="A9" s="1"/>
      <c r="B9" s="12"/>
      <c r="C9" s="13" t="s">
        <v>5</v>
      </c>
      <c r="L9" s="1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47.25" customHeight="1">
      <c r="A10" s="1"/>
      <c r="B10" s="12"/>
      <c r="C10" s="14" t="s">
        <v>6</v>
      </c>
      <c r="E10" s="14"/>
      <c r="F10" s="14" t="s">
        <v>7</v>
      </c>
      <c r="H10" s="14"/>
      <c r="I10" s="14" t="s">
        <v>8</v>
      </c>
      <c r="K10" s="14"/>
      <c r="L10" s="1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31.5" customHeight="1">
      <c r="A11" s="1"/>
      <c r="B11" s="12"/>
      <c r="C11" s="15">
        <v>0.7</v>
      </c>
      <c r="E11" s="16">
        <v>0.71</v>
      </c>
      <c r="F11" s="17">
        <f>1-C11</f>
        <v>0.3</v>
      </c>
      <c r="H11" s="16">
        <v>0.29</v>
      </c>
      <c r="I11" s="15">
        <v>0.6</v>
      </c>
      <c r="K11" s="18" t="s">
        <v>9</v>
      </c>
      <c r="L11" s="1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47.25" customHeight="1">
      <c r="A12" s="1"/>
      <c r="B12" s="12"/>
      <c r="C12" s="19"/>
      <c r="D12" s="20"/>
      <c r="E12" s="21"/>
      <c r="F12" s="21"/>
      <c r="G12" s="21"/>
      <c r="H12" s="21"/>
      <c r="I12" s="21"/>
      <c r="J12" s="21"/>
      <c r="K12" s="21"/>
      <c r="L12" s="1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63.0" customHeight="1">
      <c r="A13" s="1"/>
      <c r="B13" s="12"/>
      <c r="C13" s="13" t="s">
        <v>10</v>
      </c>
      <c r="L13" s="1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47.25" customHeight="1">
      <c r="A14" s="1"/>
      <c r="B14" s="12"/>
      <c r="C14" s="14" t="s">
        <v>6</v>
      </c>
      <c r="E14" s="14"/>
      <c r="F14" s="14" t="s">
        <v>7</v>
      </c>
      <c r="H14" s="14"/>
      <c r="I14" s="14" t="s">
        <v>8</v>
      </c>
      <c r="K14" s="14"/>
      <c r="L14" s="1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31.5" customHeight="1">
      <c r="A15" s="1"/>
      <c r="B15" s="12"/>
      <c r="C15" s="22" t="s">
        <v>11</v>
      </c>
      <c r="D15" s="15">
        <v>0.15</v>
      </c>
      <c r="E15" s="16">
        <v>0.12</v>
      </c>
      <c r="F15" s="22" t="s">
        <v>12</v>
      </c>
      <c r="G15" s="15">
        <v>0.0</v>
      </c>
      <c r="H15" s="23">
        <v>0.006</v>
      </c>
      <c r="I15" s="22" t="s">
        <v>13</v>
      </c>
      <c r="J15" s="15">
        <v>0.3</v>
      </c>
      <c r="K15" s="24"/>
      <c r="L15" s="1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31.5" customHeight="1">
      <c r="A16" s="1"/>
      <c r="B16" s="12"/>
      <c r="C16" s="22" t="s">
        <v>14</v>
      </c>
      <c r="D16" s="17">
        <f>1-D15</f>
        <v>0.85</v>
      </c>
      <c r="E16" s="16">
        <v>0.88</v>
      </c>
      <c r="F16" s="22" t="s">
        <v>15</v>
      </c>
      <c r="G16" s="15">
        <v>0.0</v>
      </c>
      <c r="H16" s="23">
        <v>0.229</v>
      </c>
      <c r="I16" s="22" t="s">
        <v>16</v>
      </c>
      <c r="J16" s="17">
        <f>1-J15</f>
        <v>0.7</v>
      </c>
      <c r="K16" s="25"/>
      <c r="L16" s="1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31.5" customHeight="1">
      <c r="A17" s="1"/>
      <c r="B17" s="12"/>
      <c r="C17" s="22"/>
      <c r="D17" s="26"/>
      <c r="E17" s="27"/>
      <c r="F17" s="22" t="s">
        <v>17</v>
      </c>
      <c r="G17" s="15">
        <v>0.55</v>
      </c>
      <c r="H17" s="23">
        <v>0.365</v>
      </c>
      <c r="I17" s="28"/>
      <c r="J17" s="29"/>
      <c r="K17" s="29"/>
      <c r="L17" s="1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31.5" customHeight="1">
      <c r="A18" s="1"/>
      <c r="B18" s="12"/>
      <c r="C18" s="28"/>
      <c r="D18" s="25"/>
      <c r="E18" s="16"/>
      <c r="F18" s="22" t="s">
        <v>18</v>
      </c>
      <c r="G18" s="15">
        <v>0.024</v>
      </c>
      <c r="H18" s="23">
        <v>0.026</v>
      </c>
      <c r="I18" s="28"/>
      <c r="J18" s="29"/>
      <c r="K18" s="29"/>
      <c r="L18" s="1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31.5" customHeight="1">
      <c r="A19" s="1"/>
      <c r="B19" s="12"/>
      <c r="C19" s="22"/>
      <c r="D19" s="25"/>
      <c r="E19" s="27"/>
      <c r="F19" s="22" t="s">
        <v>19</v>
      </c>
      <c r="G19" s="15">
        <v>0.04</v>
      </c>
      <c r="H19" s="23">
        <v>0.097</v>
      </c>
      <c r="I19" s="28"/>
      <c r="J19" s="29"/>
      <c r="K19" s="29"/>
      <c r="L19" s="1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31.5" customHeight="1">
      <c r="A20" s="1"/>
      <c r="B20" s="12"/>
      <c r="C20" s="22"/>
      <c r="D20" s="25"/>
      <c r="E20" s="30"/>
      <c r="F20" s="22" t="s">
        <v>20</v>
      </c>
      <c r="G20" s="31">
        <v>0.386</v>
      </c>
      <c r="H20" s="23">
        <v>0.277</v>
      </c>
      <c r="I20" s="28"/>
      <c r="J20" s="29"/>
      <c r="K20" s="29"/>
      <c r="L20" s="1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31.5" customHeight="1">
      <c r="A21" s="1"/>
      <c r="B21" s="12"/>
      <c r="C21" s="32"/>
      <c r="D21" s="33">
        <f>SUM(D15:D16)</f>
        <v>1</v>
      </c>
      <c r="E21" s="34"/>
      <c r="F21" s="35"/>
      <c r="G21" s="33">
        <f>SUM(G15:G20)</f>
        <v>1</v>
      </c>
      <c r="H21" s="34"/>
      <c r="I21" s="34"/>
      <c r="J21" s="33">
        <f>SUM(J15:J16)</f>
        <v>1</v>
      </c>
      <c r="K21" s="36"/>
      <c r="L21" s="1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47.25" customHeight="1">
      <c r="A22" s="1"/>
      <c r="B22" s="12"/>
      <c r="C22" s="19"/>
      <c r="D22" s="19"/>
      <c r="E22" s="21"/>
      <c r="F22" s="19"/>
      <c r="G22" s="21"/>
      <c r="H22" s="21"/>
      <c r="I22" s="21"/>
      <c r="J22" s="21"/>
      <c r="K22" s="21"/>
      <c r="L22" s="1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63.0" customHeight="1">
      <c r="A23" s="1"/>
      <c r="B23" s="12"/>
      <c r="C23" s="13" t="s">
        <v>21</v>
      </c>
      <c r="L23" s="1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47.25" customHeight="1">
      <c r="A24" s="1"/>
      <c r="B24" s="12"/>
      <c r="C24" s="14" t="s">
        <v>22</v>
      </c>
      <c r="G24" s="14" t="s">
        <v>23</v>
      </c>
      <c r="H24" s="37"/>
      <c r="I24" s="14" t="s">
        <v>24</v>
      </c>
      <c r="L24" s="1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31.5" customHeight="1">
      <c r="A25" s="1"/>
      <c r="B25" s="12"/>
      <c r="C25" s="22" t="s">
        <v>25</v>
      </c>
      <c r="D25" s="17">
        <f>J15*I11</f>
        <v>0.18</v>
      </c>
      <c r="G25" s="15">
        <v>0.7</v>
      </c>
      <c r="H25" s="18" t="s">
        <v>26</v>
      </c>
      <c r="I25" s="38">
        <f t="shared" ref="I25:I26" si="1">G25*D25</f>
        <v>0.126</v>
      </c>
      <c r="L25" s="1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31.5" customHeight="1">
      <c r="A26" s="1"/>
      <c r="B26" s="12"/>
      <c r="C26" s="22" t="s">
        <v>27</v>
      </c>
      <c r="D26" s="17">
        <f>J16*I11</f>
        <v>0.42</v>
      </c>
      <c r="G26" s="15">
        <v>0.34</v>
      </c>
      <c r="H26" s="18" t="s">
        <v>28</v>
      </c>
      <c r="I26" s="38">
        <f t="shared" si="1"/>
        <v>0.1428</v>
      </c>
      <c r="L26" s="1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31.5" customHeight="1">
      <c r="A27" s="1"/>
      <c r="B27" s="12"/>
      <c r="C27" s="22" t="s">
        <v>14</v>
      </c>
      <c r="D27" s="17">
        <f>D16*C11</f>
        <v>0.595</v>
      </c>
      <c r="G27" s="15">
        <v>0.07</v>
      </c>
      <c r="H27" s="18" t="s">
        <v>29</v>
      </c>
      <c r="I27" s="38">
        <f>G27*(1-I11)*D27</f>
        <v>0.01666</v>
      </c>
      <c r="L27" s="1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31.5" customHeight="1">
      <c r="A28" s="1"/>
      <c r="B28" s="12"/>
      <c r="C28" s="22" t="s">
        <v>11</v>
      </c>
      <c r="D28" s="17">
        <f>D15*C11</f>
        <v>0.105</v>
      </c>
      <c r="G28" s="15">
        <v>0.65</v>
      </c>
      <c r="H28" s="18" t="s">
        <v>9</v>
      </c>
      <c r="I28" s="38">
        <f>G28*(1-I11)*D28</f>
        <v>0.0273</v>
      </c>
      <c r="L28" s="1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31.5" customHeight="1">
      <c r="A29" s="1"/>
      <c r="B29" s="12"/>
      <c r="C29" s="22" t="s">
        <v>12</v>
      </c>
      <c r="D29" s="17">
        <f>G15*F11</f>
        <v>0</v>
      </c>
      <c r="G29" s="15">
        <v>0.15</v>
      </c>
      <c r="H29" s="18" t="s">
        <v>30</v>
      </c>
      <c r="I29" s="38">
        <f>G29*(1-I11)*D29</f>
        <v>0</v>
      </c>
      <c r="L29" s="1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31.5" customHeight="1">
      <c r="A30" s="1"/>
      <c r="B30" s="12"/>
      <c r="C30" s="22" t="s">
        <v>15</v>
      </c>
      <c r="D30" s="17">
        <f>G16*F11</f>
        <v>0</v>
      </c>
      <c r="G30" s="15">
        <v>0.35</v>
      </c>
      <c r="H30" s="18" t="s">
        <v>31</v>
      </c>
      <c r="I30" s="38">
        <f>G30*(1-I11)*D30</f>
        <v>0</v>
      </c>
      <c r="L30" s="1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31.5" customHeight="1">
      <c r="A31" s="1"/>
      <c r="B31" s="12"/>
      <c r="C31" s="22" t="s">
        <v>17</v>
      </c>
      <c r="D31" s="17">
        <f>G17*F11</f>
        <v>0.165</v>
      </c>
      <c r="G31" s="15">
        <v>0.2</v>
      </c>
      <c r="H31" s="18" t="s">
        <v>32</v>
      </c>
      <c r="I31" s="38">
        <f>G31*(1-I11)*D31</f>
        <v>0.0132</v>
      </c>
      <c r="L31" s="1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31.5" customHeight="1">
      <c r="A32" s="1"/>
      <c r="B32" s="12"/>
      <c r="C32" s="22" t="s">
        <v>18</v>
      </c>
      <c r="D32" s="17">
        <f>G18*F11</f>
        <v>0.0072</v>
      </c>
      <c r="G32" s="15">
        <v>0.07</v>
      </c>
      <c r="H32" s="18" t="s">
        <v>29</v>
      </c>
      <c r="I32" s="38">
        <f>G32*(1-I11)*D32</f>
        <v>0.0002016</v>
      </c>
      <c r="L32" s="1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31.5" customHeight="1">
      <c r="A33" s="1"/>
      <c r="B33" s="12"/>
      <c r="C33" s="22" t="s">
        <v>19</v>
      </c>
      <c r="D33" s="17">
        <f>G19*F11</f>
        <v>0.012</v>
      </c>
      <c r="G33" s="15">
        <v>0.65</v>
      </c>
      <c r="H33" s="18" t="s">
        <v>26</v>
      </c>
      <c r="I33" s="38">
        <f>G33*(1-I11)*D33</f>
        <v>0.00312</v>
      </c>
      <c r="L33" s="1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31.5" customHeight="1">
      <c r="A34" s="1"/>
      <c r="B34" s="12"/>
      <c r="C34" s="22" t="s">
        <v>20</v>
      </c>
      <c r="D34" s="17">
        <f>G20*F11</f>
        <v>0.1158</v>
      </c>
      <c r="G34" s="15">
        <v>0.18</v>
      </c>
      <c r="H34" s="18" t="s">
        <v>33</v>
      </c>
      <c r="I34" s="38">
        <f>G34*(1-I11)*D34</f>
        <v>0.0083376</v>
      </c>
      <c r="L34" s="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31.5" customHeight="1">
      <c r="A35" s="1"/>
      <c r="B35" s="12"/>
      <c r="C35" s="36"/>
      <c r="D35" s="35" t="str">
        <f>IF(AND(SUM(D25:F26) = I11, SUM(D27:F34)=100%),"100%", "ERROR")</f>
        <v>100%</v>
      </c>
      <c r="G35" s="36"/>
      <c r="H35" s="36"/>
      <c r="I35" s="36"/>
      <c r="J35" s="36"/>
      <c r="K35" s="36"/>
      <c r="L35" s="1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47.25" customHeight="1">
      <c r="A36" s="1"/>
      <c r="B36" s="12"/>
      <c r="C36" s="21"/>
      <c r="D36" s="21"/>
      <c r="E36" s="21"/>
      <c r="F36" s="21"/>
      <c r="G36" s="21"/>
      <c r="H36" s="21"/>
      <c r="I36" s="21"/>
      <c r="J36" s="21"/>
      <c r="K36" s="21"/>
      <c r="L36" s="1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63.0" customHeight="1">
      <c r="A37" s="1"/>
      <c r="B37" s="12"/>
      <c r="C37" s="13" t="s">
        <v>34</v>
      </c>
      <c r="L37" s="1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47.25" customHeight="1">
      <c r="A38" s="1"/>
      <c r="B38" s="12"/>
      <c r="C38" s="17">
        <f>SUM(I25:K34)</f>
        <v>0.3376192</v>
      </c>
      <c r="L38" s="1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2"/>
      <c r="C39" s="21"/>
      <c r="D39" s="21"/>
      <c r="E39" s="21"/>
      <c r="F39" s="21"/>
      <c r="G39" s="21"/>
      <c r="H39" s="21"/>
      <c r="I39" s="21"/>
      <c r="J39" s="21"/>
      <c r="K39" s="21"/>
      <c r="L39" s="1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</sheetData>
  <mergeCells count="37">
    <mergeCell ref="C11:D11"/>
    <mergeCell ref="C14:D14"/>
    <mergeCell ref="C9:K9"/>
    <mergeCell ref="C10:D10"/>
    <mergeCell ref="F10:G10"/>
    <mergeCell ref="I10:J10"/>
    <mergeCell ref="F11:G11"/>
    <mergeCell ref="I11:J11"/>
    <mergeCell ref="C13:K13"/>
    <mergeCell ref="I25:K25"/>
    <mergeCell ref="I26:K26"/>
    <mergeCell ref="F14:G14"/>
    <mergeCell ref="I14:J14"/>
    <mergeCell ref="C23:K23"/>
    <mergeCell ref="C24:F24"/>
    <mergeCell ref="I24:K24"/>
    <mergeCell ref="D25:F25"/>
    <mergeCell ref="D26:F26"/>
    <mergeCell ref="D30:F30"/>
    <mergeCell ref="D31:F31"/>
    <mergeCell ref="D32:F32"/>
    <mergeCell ref="D33:F33"/>
    <mergeCell ref="D34:F34"/>
    <mergeCell ref="D35:F35"/>
    <mergeCell ref="I31:K31"/>
    <mergeCell ref="I32:K32"/>
    <mergeCell ref="I33:K33"/>
    <mergeCell ref="I34:K34"/>
    <mergeCell ref="C37:K37"/>
    <mergeCell ref="C38:K38"/>
    <mergeCell ref="D27:F27"/>
    <mergeCell ref="I27:K27"/>
    <mergeCell ref="D28:F28"/>
    <mergeCell ref="I28:K28"/>
    <mergeCell ref="D29:F29"/>
    <mergeCell ref="I29:K29"/>
    <mergeCell ref="I30:K30"/>
  </mergeCells>
  <drawing r:id="rId1"/>
</worksheet>
</file>